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270" windowHeight="12585" tabRatio="500"/>
  </bookViews>
  <sheets>
    <sheet name="Main" sheetId="2" r:id="rId1"/>
    <sheet name="market_data" sheetId="1" r:id="rId2"/>
    <sheet name="model_parameters" sheetId="3" r:id="rId3"/>
  </sheets>
  <functionGroups builtInGroupCount="17"/>
  <calcPr calcId="145621" calcMode="manual" calcOnSave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" i="1" l="1"/>
  <c r="G3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</calcChain>
</file>

<file path=xl/sharedStrings.xml><?xml version="1.0" encoding="utf-8"?>
<sst xmlns="http://schemas.openxmlformats.org/spreadsheetml/2006/main" count="16" uniqueCount="14">
  <si>
    <t>Nominal rates</t>
  </si>
  <si>
    <t>Maturity (Y)</t>
  </si>
  <si>
    <t>Start Date</t>
  </si>
  <si>
    <t>Horizon (Y)</t>
  </si>
  <si>
    <t>Number of steps per year</t>
  </si>
  <si>
    <t>Number of simulations</t>
  </si>
  <si>
    <t>Tenors to be generetad</t>
  </si>
  <si>
    <t>Vasicek Parameters</t>
  </si>
  <si>
    <t>speed of mean reversion</t>
  </si>
  <si>
    <t>volatility</t>
  </si>
  <si>
    <t>zero_coupon_prices</t>
  </si>
  <si>
    <t>Spot Zero Coupon Prices</t>
  </si>
  <si>
    <t>Repository with results</t>
  </si>
  <si>
    <t>D:/temp/simpleESG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</si>
</sst>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&quot; Y&quot;"/>
    <numFmt numFmtId="165" formatCode="0.000000000000000000000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10" fontId="3" fillId="2" borderId="0" xfId="1" applyNumberFormat="1" applyFont="1" applyFill="1" applyBorder="1" applyAlignment="1">
      <alignment horizontal="center"/>
    </xf>
    <xf numFmtId="164" fontId="4" fillId="3" borderId="0" xfId="1" applyNumberFormat="1" applyFont="1" applyFill="1" applyBorder="1" applyAlignment="1" applyProtection="1">
      <alignment horizontal="center"/>
    </xf>
    <xf numFmtId="10" fontId="4" fillId="3" borderId="0" xfId="1" applyNumberFormat="1" applyFont="1" applyFill="1" applyBorder="1" applyAlignment="1" applyProtection="1">
      <alignment horizontal="center"/>
    </xf>
    <xf numFmtId="14" fontId="5" fillId="5" borderId="5" xfId="0" applyNumberFormat="1" applyFont="1" applyFill="1" applyBorder="1" applyAlignment="1">
      <alignment horizontal="center"/>
    </xf>
    <xf numFmtId="0" fontId="5" fillId="5" borderId="6" xfId="0" applyNumberFormat="1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5" borderId="7" xfId="0" applyFont="1" applyFill="1" applyBorder="1" applyAlignment="1">
      <alignment horizontal="center"/>
    </xf>
    <xf numFmtId="0" fontId="2" fillId="4" borderId="4" xfId="0" applyFont="1" applyFill="1" applyBorder="1"/>
    <xf numFmtId="0" fontId="2" fillId="4" borderId="2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7" fillId="6" borderId="1" xfId="0" applyFont="1" applyFill="1" applyBorder="1"/>
    <xf numFmtId="0" fontId="0" fillId="3" borderId="0" xfId="0" applyFill="1" applyAlignment="1">
      <alignment horizontal="center"/>
    </xf>
    <xf numFmtId="0" fontId="0" fillId="0" borderId="8" xfId="0" applyBorder="1"/>
    <xf numFmtId="0" fontId="0" fillId="3" borderId="8" xfId="0" applyFill="1" applyBorder="1"/>
    <xf numFmtId="165" fontId="4" fillId="3" borderId="0" xfId="1" applyNumberFormat="1" applyFont="1" applyFill="1" applyBorder="1" applyAlignment="1" applyProtection="1">
      <alignment horizontal="center"/>
    </xf>
    <xf numFmtId="10" fontId="0" fillId="0" borderId="0" xfId="1" applyNumberFormat="1" applyFont="1"/>
    <xf numFmtId="11" fontId="2" fillId="2" borderId="0" xfId="0" applyNumberFormat="1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</xdr:row>
          <xdr:rowOff>114300</xdr:rowOff>
        </xdr:from>
        <xdr:to>
          <xdr:col>7</xdr:col>
          <xdr:colOff>590550</xdr:colOff>
          <xdr:row>5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</a:rPr>
                <a:t>Launch simulations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14"/>
  <sheetViews>
    <sheetView tabSelected="1" workbookViewId="0">
      <selection activeCell="F12" sqref="F12"/>
    </sheetView>
  </sheetViews>
  <sheetFormatPr baseColWidth="10" defaultRowHeight="15.75" x14ac:dyDescent="0.25"/>
  <cols>
    <col min="1" max="1" width="22.875" bestFit="1" customWidth="1"/>
    <col min="2" max="2" width="16.875" bestFit="1" customWidth="1"/>
  </cols>
  <sheetData>
    <row r="1" spans="1:2" ht="16.5" thickBot="1" x14ac:dyDescent="0.3"/>
    <row r="2" spans="1:2" x14ac:dyDescent="0.25">
      <c r="A2" s="8" t="s">
        <v>2</v>
      </c>
      <c r="B2" s="4">
        <v>42734</v>
      </c>
    </row>
    <row r="3" spans="1:2" x14ac:dyDescent="0.25">
      <c r="A3" s="9" t="s">
        <v>3</v>
      </c>
      <c r="B3" s="5">
        <v>40</v>
      </c>
    </row>
    <row r="4" spans="1:2" x14ac:dyDescent="0.25">
      <c r="A4" s="10" t="s">
        <v>4</v>
      </c>
      <c r="B4" s="6">
        <v>12</v>
      </c>
    </row>
    <row r="5" spans="1:2" ht="16.5" thickBot="1" x14ac:dyDescent="0.3">
      <c r="A5" s="11" t="s">
        <v>5</v>
      </c>
      <c r="B5" s="7">
        <v>1000</v>
      </c>
    </row>
    <row r="6" spans="1:2" ht="16.5" thickBot="1" x14ac:dyDescent="0.3">
      <c r="A6" s="11" t="s">
        <v>12</v>
      </c>
      <c r="B6" s="7" t="s">
        <v>13</v>
      </c>
    </row>
    <row r="11" spans="1:2" ht="16.5" thickBot="1" x14ac:dyDescent="0.3"/>
    <row r="12" spans="1:2" ht="16.5" thickBot="1" x14ac:dyDescent="0.3">
      <c r="A12" s="12" t="s">
        <v>6</v>
      </c>
    </row>
    <row r="13" spans="1:2" x14ac:dyDescent="0.25">
      <c r="A13" s="13">
        <v>1</v>
      </c>
    </row>
    <row r="14" spans="1:2" x14ac:dyDescent="0.25">
      <c r="A14" s="13">
        <v>10</v>
      </c>
    </row>
  </sheetData>
  <protectedRanges>
    <protectedRange sqref="B2:B3" name="Plage1"/>
  </protectedRange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unch_simulations">
                <anchor moveWithCells="1" sizeWithCells="1">
                  <from>
                    <xdr:col>4</xdr:col>
                    <xdr:colOff>295275</xdr:colOff>
                    <xdr:row>2</xdr:row>
                    <xdr:rowOff>114300</xdr:rowOff>
                  </from>
                  <to>
                    <xdr:col>7</xdr:col>
                    <xdr:colOff>590550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33"/>
  <sheetViews>
    <sheetView workbookViewId="0">
      <selection activeCell="E13" sqref="E13"/>
    </sheetView>
  </sheetViews>
  <sheetFormatPr baseColWidth="10" defaultColWidth="11" defaultRowHeight="15.75" x14ac:dyDescent="0.25"/>
  <cols>
    <col min="2" max="2" width="14.75" customWidth="1"/>
    <col min="7" max="7" width="20.625" bestFit="1" customWidth="1"/>
  </cols>
  <sheetData>
    <row r="1" spans="1:8" x14ac:dyDescent="0.25">
      <c r="A1" s="18" t="s">
        <v>0</v>
      </c>
      <c r="B1" s="18"/>
      <c r="F1" s="18" t="s">
        <v>11</v>
      </c>
      <c r="G1" s="18"/>
    </row>
    <row r="2" spans="1:8" x14ac:dyDescent="0.25">
      <c r="A2" s="1" t="s">
        <v>1</v>
      </c>
      <c r="B2" s="1" t="s">
        <v>10</v>
      </c>
      <c r="F2" s="1" t="s">
        <v>1</v>
      </c>
      <c r="G2" s="1" t="s">
        <v>10</v>
      </c>
    </row>
    <row r="3" spans="1:8" x14ac:dyDescent="0.25">
      <c r="A3" s="2">
        <v>0</v>
      </c>
      <c r="B3" s="3">
        <v>-5.0000000000000001E-3</v>
      </c>
      <c r="F3" s="2">
        <v>0</v>
      </c>
      <c r="G3" s="16">
        <f>1/(1+B3)^F3</f>
        <v>1</v>
      </c>
      <c r="H3" s="17"/>
    </row>
    <row r="4" spans="1:8" x14ac:dyDescent="0.25">
      <c r="A4" s="2">
        <v>1</v>
      </c>
      <c r="B4" s="3">
        <v>-5.0000000000000001E-3</v>
      </c>
      <c r="F4" s="2">
        <v>1</v>
      </c>
      <c r="G4" s="16">
        <f>1/(1+B4)^F4</f>
        <v>1.0050251256281406</v>
      </c>
      <c r="H4" s="17"/>
    </row>
    <row r="5" spans="1:8" x14ac:dyDescent="0.25">
      <c r="A5" s="2">
        <v>2</v>
      </c>
      <c r="B5" s="3">
        <v>-3.195357142857143E-3</v>
      </c>
      <c r="F5" s="2">
        <v>2</v>
      </c>
      <c r="G5" s="16">
        <f t="shared" ref="G5:G33" si="0">1/(1+B5)^F5</f>
        <v>1.0064214762330965</v>
      </c>
      <c r="H5" s="17"/>
    </row>
    <row r="6" spans="1:8" x14ac:dyDescent="0.25">
      <c r="A6" s="2">
        <v>3</v>
      </c>
      <c r="B6" s="3">
        <v>-1.4125714285714286E-3</v>
      </c>
      <c r="F6" s="2">
        <v>3</v>
      </c>
      <c r="G6" s="16">
        <f t="shared" si="0"/>
        <v>1.004249714679657</v>
      </c>
      <c r="H6" s="17"/>
    </row>
    <row r="7" spans="1:8" x14ac:dyDescent="0.25">
      <c r="A7" s="2">
        <v>4</v>
      </c>
      <c r="B7" s="3">
        <v>3.2650000000000008E-4</v>
      </c>
      <c r="F7" s="2">
        <v>4</v>
      </c>
      <c r="G7" s="16">
        <f t="shared" si="0"/>
        <v>0.99869506532678542</v>
      </c>
      <c r="H7" s="17"/>
    </row>
    <row r="8" spans="1:8" x14ac:dyDescent="0.25">
      <c r="A8" s="2">
        <v>5</v>
      </c>
      <c r="B8" s="3">
        <v>2E-3</v>
      </c>
      <c r="F8" s="2">
        <v>5</v>
      </c>
      <c r="G8" s="16">
        <f t="shared" si="0"/>
        <v>0.99005972111598139</v>
      </c>
      <c r="H8" s="17"/>
    </row>
    <row r="9" spans="1:8" x14ac:dyDescent="0.25">
      <c r="A9" s="2">
        <v>6</v>
      </c>
      <c r="B9" s="3">
        <v>3.5891199999999999E-3</v>
      </c>
      <c r="F9" s="2">
        <v>6</v>
      </c>
      <c r="G9" s="16">
        <f t="shared" si="0"/>
        <v>0.97873322907052351</v>
      </c>
      <c r="H9" s="17"/>
    </row>
    <row r="10" spans="1:8" x14ac:dyDescent="0.25">
      <c r="A10" s="2">
        <v>7</v>
      </c>
      <c r="B10" s="3">
        <v>5.0872457142857137E-3</v>
      </c>
      <c r="F10" s="2">
        <v>7</v>
      </c>
      <c r="G10" s="16">
        <f t="shared" si="0"/>
        <v>0.96510300173119656</v>
      </c>
      <c r="H10" s="17"/>
    </row>
    <row r="11" spans="1:8" x14ac:dyDescent="0.25">
      <c r="A11" s="2">
        <v>8</v>
      </c>
      <c r="B11" s="3">
        <v>6.4908114285714283E-3</v>
      </c>
      <c r="F11" s="2">
        <v>8</v>
      </c>
      <c r="G11" s="16">
        <f t="shared" si="0"/>
        <v>0.9495579726688993</v>
      </c>
      <c r="H11" s="17"/>
    </row>
    <row r="12" spans="1:8" x14ac:dyDescent="0.25">
      <c r="A12" s="2">
        <v>9</v>
      </c>
      <c r="B12" s="3">
        <v>7.796251428571428E-3</v>
      </c>
      <c r="F12" s="2">
        <v>9</v>
      </c>
      <c r="G12" s="16">
        <f t="shared" si="0"/>
        <v>0.93249251035513281</v>
      </c>
      <c r="H12" s="17"/>
    </row>
    <row r="13" spans="1:8" x14ac:dyDescent="0.25">
      <c r="A13" s="2">
        <v>10</v>
      </c>
      <c r="B13" s="3">
        <v>8.9999999999999993E-3</v>
      </c>
      <c r="F13" s="2">
        <v>10</v>
      </c>
      <c r="G13" s="16">
        <f t="shared" si="0"/>
        <v>0.91429919550507588</v>
      </c>
      <c r="H13" s="17"/>
    </row>
    <row r="14" spans="1:8" x14ac:dyDescent="0.25">
      <c r="A14" s="2">
        <v>11</v>
      </c>
      <c r="B14" s="3">
        <v>1.0099962857142855E-2</v>
      </c>
      <c r="F14" s="2">
        <v>11</v>
      </c>
      <c r="G14" s="16">
        <f t="shared" si="0"/>
        <v>0.89534846519456557</v>
      </c>
      <c r="H14" s="17"/>
    </row>
    <row r="15" spans="1:8" x14ac:dyDescent="0.25">
      <c r="A15" s="2">
        <v>12</v>
      </c>
      <c r="B15" s="3">
        <v>1.1099931428571427E-2</v>
      </c>
      <c r="F15" s="2">
        <v>12</v>
      </c>
      <c r="G15" s="16">
        <f t="shared" si="0"/>
        <v>0.87593328330322651</v>
      </c>
      <c r="H15" s="17"/>
    </row>
    <row r="16" spans="1:8" x14ac:dyDescent="0.25">
      <c r="A16" s="2">
        <v>13</v>
      </c>
      <c r="B16" s="3">
        <v>1.2005168571428569E-2</v>
      </c>
      <c r="F16" s="2">
        <v>13</v>
      </c>
      <c r="G16" s="16">
        <f t="shared" si="0"/>
        <v>0.85629715809804818</v>
      </c>
      <c r="H16" s="17"/>
    </row>
    <row r="17" spans="1:8" x14ac:dyDescent="0.25">
      <c r="A17" s="2">
        <v>14</v>
      </c>
      <c r="B17" s="3">
        <v>1.2820937142857142E-2</v>
      </c>
      <c r="F17" s="2">
        <v>14</v>
      </c>
      <c r="G17" s="16">
        <f t="shared" si="0"/>
        <v>0.8366476823507788</v>
      </c>
      <c r="H17" s="17"/>
    </row>
    <row r="18" spans="1:8" x14ac:dyDescent="0.25">
      <c r="A18" s="2">
        <v>15</v>
      </c>
      <c r="B18" s="3">
        <v>1.3552499999999999E-2</v>
      </c>
      <c r="F18" s="2">
        <v>15</v>
      </c>
      <c r="G18" s="16">
        <f t="shared" si="0"/>
        <v>0.817158423681838</v>
      </c>
      <c r="H18" s="17"/>
    </row>
    <row r="19" spans="1:8" x14ac:dyDescent="0.25">
      <c r="A19" s="2">
        <v>16</v>
      </c>
      <c r="B19" s="3">
        <v>1.4205119999999998E-2</v>
      </c>
      <c r="F19" s="2">
        <v>16</v>
      </c>
      <c r="G19" s="16">
        <f t="shared" si="0"/>
        <v>0.79797120760423879</v>
      </c>
      <c r="H19" s="17"/>
    </row>
    <row r="20" spans="1:8" x14ac:dyDescent="0.25">
      <c r="A20" s="2">
        <v>17</v>
      </c>
      <c r="B20" s="3">
        <v>1.4784059999999998E-2</v>
      </c>
      <c r="F20" s="2">
        <v>17</v>
      </c>
      <c r="G20" s="16">
        <f t="shared" si="0"/>
        <v>0.77919861934141355</v>
      </c>
      <c r="H20" s="17"/>
    </row>
    <row r="21" spans="1:8" x14ac:dyDescent="0.25">
      <c r="A21" s="2">
        <v>18</v>
      </c>
      <c r="B21" s="3">
        <v>1.5294582857142856E-2</v>
      </c>
      <c r="F21" s="2">
        <v>18</v>
      </c>
      <c r="G21" s="16">
        <f t="shared" si="0"/>
        <v>0.76092658583658968</v>
      </c>
      <c r="H21" s="17"/>
    </row>
    <row r="22" spans="1:8" x14ac:dyDescent="0.25">
      <c r="A22" s="2">
        <v>19</v>
      </c>
      <c r="B22" s="3">
        <v>1.5741951428571429E-2</v>
      </c>
      <c r="F22" s="2">
        <v>19</v>
      </c>
      <c r="G22" s="16">
        <f t="shared" si="0"/>
        <v>0.74321693171511505</v>
      </c>
      <c r="H22" s="17"/>
    </row>
    <row r="23" spans="1:8" x14ac:dyDescent="0.25">
      <c r="A23" s="2">
        <v>20</v>
      </c>
      <c r="B23" s="3">
        <v>1.6131428571428571E-2</v>
      </c>
      <c r="F23" s="2">
        <v>20</v>
      </c>
      <c r="G23" s="16">
        <f t="shared" si="0"/>
        <v>0.72610983159841125</v>
      </c>
      <c r="H23" s="17"/>
    </row>
    <row r="24" spans="1:8" x14ac:dyDescent="0.25">
      <c r="A24" s="2">
        <v>21</v>
      </c>
      <c r="B24" s="3">
        <v>1.6468277142857143E-2</v>
      </c>
      <c r="F24" s="2">
        <v>21</v>
      </c>
      <c r="G24" s="16">
        <f t="shared" si="0"/>
        <v>0.70962610585189478</v>
      </c>
      <c r="H24" s="17"/>
    </row>
    <row r="25" spans="1:8" x14ac:dyDescent="0.25">
      <c r="A25" s="2">
        <v>22</v>
      </c>
      <c r="B25" s="3">
        <v>1.675776E-2</v>
      </c>
      <c r="F25" s="2">
        <v>22</v>
      </c>
      <c r="G25" s="16">
        <f t="shared" si="0"/>
        <v>0.69376932765814803</v>
      </c>
      <c r="H25" s="17"/>
    </row>
    <row r="26" spans="1:8" x14ac:dyDescent="0.25">
      <c r="A26" s="2">
        <v>23</v>
      </c>
      <c r="B26" s="3">
        <v>1.7005139999999998E-2</v>
      </c>
      <c r="F26" s="2">
        <v>23</v>
      </c>
      <c r="G26" s="16">
        <f t="shared" si="0"/>
        <v>0.67852772653183158</v>
      </c>
      <c r="H26" s="17"/>
    </row>
    <row r="27" spans="1:8" x14ac:dyDescent="0.25">
      <c r="A27" s="2">
        <v>24</v>
      </c>
      <c r="B27" s="3">
        <v>1.7215680000000001E-2</v>
      </c>
      <c r="F27" s="2">
        <v>24</v>
      </c>
      <c r="G27" s="16">
        <f t="shared" si="0"/>
        <v>0.66387588744684956</v>
      </c>
      <c r="H27" s="17"/>
    </row>
    <row r="28" spans="1:8" x14ac:dyDescent="0.25">
      <c r="A28" s="2">
        <v>25</v>
      </c>
      <c r="B28" s="3">
        <v>1.7394642857142855E-2</v>
      </c>
      <c r="F28" s="2">
        <v>25</v>
      </c>
      <c r="G28" s="16">
        <f t="shared" si="0"/>
        <v>0.64977625609172218</v>
      </c>
      <c r="H28" s="17"/>
    </row>
    <row r="29" spans="1:8" x14ac:dyDescent="0.25">
      <c r="A29" s="2">
        <v>26</v>
      </c>
      <c r="B29" s="3">
        <v>1.7547291428571428E-2</v>
      </c>
      <c r="F29" s="2">
        <v>26</v>
      </c>
      <c r="G29" s="16">
        <f t="shared" si="0"/>
        <v>0.63618046986609911</v>
      </c>
      <c r="H29" s="17"/>
    </row>
    <row r="30" spans="1:8" x14ac:dyDescent="0.25">
      <c r="A30" s="2">
        <v>27</v>
      </c>
      <c r="B30" s="3">
        <v>1.7678888571428571E-2</v>
      </c>
      <c r="F30" s="2">
        <v>27</v>
      </c>
      <c r="G30" s="16">
        <f t="shared" si="0"/>
        <v>0.62303054149868475</v>
      </c>
      <c r="H30" s="17"/>
    </row>
    <row r="31" spans="1:8" x14ac:dyDescent="0.25">
      <c r="A31" s="2">
        <v>28</v>
      </c>
      <c r="B31" s="3">
        <v>1.7794697142857141E-2</v>
      </c>
      <c r="F31" s="2">
        <v>28</v>
      </c>
      <c r="G31" s="16">
        <f t="shared" si="0"/>
        <v>0.61025992795368966</v>
      </c>
      <c r="H31" s="17"/>
    </row>
    <row r="32" spans="1:8" x14ac:dyDescent="0.25">
      <c r="A32" s="2">
        <v>29</v>
      </c>
      <c r="B32" s="3">
        <v>1.7899979999999999E-2</v>
      </c>
      <c r="F32" s="2">
        <v>29</v>
      </c>
      <c r="G32" s="16">
        <f t="shared" si="0"/>
        <v>0.59779452186021975</v>
      </c>
      <c r="H32" s="17"/>
    </row>
    <row r="33" spans="1:8" x14ac:dyDescent="0.25">
      <c r="A33" s="2">
        <v>30</v>
      </c>
      <c r="B33" s="3">
        <v>1.7999999999999999E-2</v>
      </c>
      <c r="F33" s="2">
        <v>30</v>
      </c>
      <c r="G33" s="16">
        <f t="shared" si="0"/>
        <v>0.58555360620513419</v>
      </c>
      <c r="H33" s="17"/>
    </row>
  </sheetData>
  <protectedRanges>
    <protectedRange sqref="F3:G33 A3:B33" name="Plage9"/>
  </protectedRanges>
  <mergeCells count="2">
    <mergeCell ref="A1:B1"/>
    <mergeCell ref="F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"/>
  <sheetViews>
    <sheetView workbookViewId="0">
      <selection activeCell="A13" sqref="A13"/>
    </sheetView>
  </sheetViews>
  <sheetFormatPr baseColWidth="10" defaultRowHeight="15.75" x14ac:dyDescent="0.25"/>
  <cols>
    <col min="1" max="1" width="21.125" bestFit="1" customWidth="1"/>
  </cols>
  <sheetData>
    <row r="1" spans="1:2" x14ac:dyDescent="0.25">
      <c r="A1" s="19" t="s">
        <v>7</v>
      </c>
      <c r="B1" s="19"/>
    </row>
    <row r="2" spans="1:2" x14ac:dyDescent="0.25">
      <c r="A2" s="15" t="s">
        <v>8</v>
      </c>
      <c r="B2" s="14">
        <v>3</v>
      </c>
    </row>
    <row r="3" spans="1:2" x14ac:dyDescent="0.25">
      <c r="A3" s="15" t="s">
        <v>9</v>
      </c>
      <c r="B3" s="14">
        <v>0.1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Main</vt:lpstr>
      <vt:lpstr>market_data</vt:lpstr>
      <vt:lpstr>model_parameters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Alexandre MOULTI</cp:lastModifiedBy>
  <dcterms:created xsi:type="dcterms:W3CDTF">2015-01-25T11:31:25Z</dcterms:created>
  <dcterms:modified xsi:type="dcterms:W3CDTF">2017-04-04T16:19:11Z</dcterms:modified>
</cp:coreProperties>
</file>